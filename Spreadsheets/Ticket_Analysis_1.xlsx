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ket" sheetId="1" state="visible" r:id="rId3"/>
    <sheet name="feedbacks" sheetId="2" state="visible" r:id="rId4"/>
    <sheet name="outlet_summary" sheetId="3" state="visible" r:id="rId5"/>
    <sheet name="formula_gu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<sst xmlns="http://schemas.openxmlformats.org/spreadsheetml/2006/main" count="69" uniqueCount="55">
  <si>
    <t xml:space="preserve">TICKET DATA</t>
  </si>
  <si>
    <t xml:space="preserve">ticket_id</t>
  </si>
  <si>
    <t xml:space="preserve">created_at</t>
  </si>
  <si>
    <t xml:space="preserve">closed_at</t>
  </si>
  <si>
    <t xml:space="preserve">outlet_id</t>
  </si>
  <si>
    <t xml:space="preserve">cms_id</t>
  </si>
  <si>
    <t xml:space="preserve">isu-sjd-457</t>
  </si>
  <si>
    <t xml:space="preserve">2021-08-19 16:45:43</t>
  </si>
  <si>
    <t xml:space="preserve">2021-08-22 12:33:32</t>
  </si>
  <si>
    <t xml:space="preserve">wrqy-juv-978</t>
  </si>
  <si>
    <t xml:space="preserve">vew-iuvd-12</t>
  </si>
  <si>
    <t xml:space="preserve">qer-fal-092</t>
  </si>
  <si>
    <t xml:space="preserve">2021-08-21 11:09:22</t>
  </si>
  <si>
    <t xml:space="preserve">2021-08-21 17:13:45</t>
  </si>
  <si>
    <t xml:space="preserve">8woh-k3u-23b</t>
  </si>
  <si>
    <t xml:space="preserve">cms-002</t>
  </si>
  <si>
    <t xml:space="preserve">abc-xyz-001</t>
  </si>
  <si>
    <t xml:space="preserve">2021-08-21 09:00:00</t>
  </si>
  <si>
    <t xml:space="preserve">2021-08-21 09:45:00</t>
  </si>
  <si>
    <t xml:space="preserve">cms-003</t>
  </si>
  <si>
    <t xml:space="preserve">def-uvw-002</t>
  </si>
  <si>
    <t xml:space="preserve">2021-08-22 08:00:00</t>
  </si>
  <si>
    <t xml:space="preserve">2021-08-22 08:55:00</t>
  </si>
  <si>
    <t xml:space="preserve">cms-004</t>
  </si>
  <si>
    <t xml:space="preserve">ghi-rst-003</t>
  </si>
  <si>
    <t xml:space="preserve">2021-08-23 10:30:00</t>
  </si>
  <si>
    <t xml:space="preserve">2021-08-24 10:30:00</t>
  </si>
  <si>
    <t xml:space="preserve">cms-005</t>
  </si>
  <si>
    <t xml:space="preserve">jkl-mno-004</t>
  </si>
  <si>
    <t xml:space="preserve">2021-08-25 14:00:00</t>
  </si>
  <si>
    <t xml:space="preserve">2021-08-25 15:20:00</t>
  </si>
  <si>
    <t xml:space="preserve">cms-006</t>
  </si>
  <si>
    <t xml:space="preserve">FEEDBACKS DATA</t>
  </si>
  <si>
    <t xml:space="preserve">feedback_at</t>
  </si>
  <si>
    <t xml:space="preserve">feedback_rating</t>
  </si>
  <si>
    <t xml:space="preserve">ticket_created_at</t>
  </si>
  <si>
    <t xml:space="preserve">2021-08-21 13:26:48</t>
  </si>
  <si>
    <t xml:space="preserve">2021-08-22 10:00:00</t>
  </si>
  <si>
    <t xml:space="preserve">2021-08-21 11:00:00</t>
  </si>
  <si>
    <t xml:space="preserve">2021-08-23 09:00:00</t>
  </si>
  <si>
    <t xml:space="preserve">2021-08-24 14:00:00</t>
  </si>
  <si>
    <t xml:space="preserve">2021-08-26 16:00:00</t>
  </si>
  <si>
    <t xml:space="preserve">NOTE: Column D (ticket_created_at) uses INDEX/MATCH formula to pull data from ticket sheet.</t>
  </si>
  <si>
    <t xml:space="preserve">OUTLET-WISE TICKET SUMMARY</t>
  </si>
  <si>
    <t xml:space="preserve">same_day_count</t>
  </si>
  <si>
    <t xml:space="preserve">same_hour_count</t>
  </si>
  <si>
    <t xml:space="preserve">Green cells = Excel formulas (auto-calculate from ticket sheet)</t>
  </si>
  <si>
    <t xml:space="preserve">same_day_count  : tickets created AND closed on the same calendar day</t>
  </si>
  <si>
    <t xml:space="preserve">same_hour_count : tickets created AND closed in the same hour of the same day</t>
  </si>
  <si>
    <t xml:space="preserve">FORMULA REFERENCE GUIDE</t>
  </si>
  <si>
    <t xml:space="preserve">Task</t>
  </si>
  <si>
    <t xml:space="preserve">Formula Used</t>
  </si>
  <si>
    <t xml:space="preserve">Populate ticket_created_at in feedbacks</t>
  </si>
  <si>
    <t xml:space="preserve">Outlet-wise same day count</t>
  </si>
  <si>
    <t xml:space="preserve">Outlet-wise same hour 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</si>
</sst>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37562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customFormat="false" ht="15" hidden="false" customHeight="false" outlineLevel="0" collapsed="false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  <row r="5" customFormat="false" ht="15" hidden="false" customHeight="false" outlineLevel="0" collapsed="false">
      <c r="A5" s="3" t="s">
        <v>16</v>
      </c>
      <c r="B5" s="3" t="s">
        <v>17</v>
      </c>
      <c r="C5" s="3" t="s">
        <v>18</v>
      </c>
      <c r="D5" s="3" t="s">
        <v>9</v>
      </c>
      <c r="E5" s="3" t="s">
        <v>19</v>
      </c>
    </row>
    <row r="6" customFormat="false" ht="15" hidden="false" customHeight="false" outlineLevel="0" collapsed="false">
      <c r="A6" s="4" t="s">
        <v>20</v>
      </c>
      <c r="B6" s="4" t="s">
        <v>21</v>
      </c>
      <c r="C6" s="4" t="s">
        <v>22</v>
      </c>
      <c r="D6" s="4" t="s">
        <v>14</v>
      </c>
      <c r="E6" s="4" t="s">
        <v>23</v>
      </c>
    </row>
    <row r="7" customFormat="false" ht="15" hidden="false" customHeight="false" outlineLevel="0" collapsed="false">
      <c r="A7" s="3" t="s">
        <v>24</v>
      </c>
      <c r="B7" s="3" t="s">
        <v>25</v>
      </c>
      <c r="C7" s="3" t="s">
        <v>26</v>
      </c>
      <c r="D7" s="3" t="s">
        <v>9</v>
      </c>
      <c r="E7" s="3" t="s">
        <v>27</v>
      </c>
    </row>
    <row r="8" customFormat="false" ht="15" hidden="false" customHeight="false" outlineLevel="0" collapsed="false">
      <c r="A8" s="4" t="s">
        <v>28</v>
      </c>
      <c r="B8" s="4" t="s">
        <v>29</v>
      </c>
      <c r="C8" s="4" t="s">
        <v>30</v>
      </c>
      <c r="D8" s="4" t="s">
        <v>14</v>
      </c>
      <c r="E8" s="4" t="s">
        <v>31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2"/>
  </cols>
  <sheetData>
    <row r="1" customFormat="false" ht="27.75" hidden="false" customHeight="true" outlineLevel="0" collapsed="false">
      <c r="A1" s="1" t="s">
        <v>32</v>
      </c>
      <c r="B1" s="1"/>
      <c r="C1" s="1"/>
      <c r="D1" s="1"/>
    </row>
    <row r="2" customFormat="false" ht="21.75" hidden="false" customHeight="true" outlineLevel="0" collapsed="false">
      <c r="A2" s="2" t="s">
        <v>5</v>
      </c>
      <c r="B2" s="2" t="s">
        <v>33</v>
      </c>
      <c r="C2" s="2" t="s">
        <v>34</v>
      </c>
      <c r="D2" s="2" t="s">
        <v>35</v>
      </c>
    </row>
    <row r="3" customFormat="false" ht="15" hidden="false" customHeight="false" outlineLevel="0" collapsed="false">
      <c r="A3" s="3" t="s">
        <v>10</v>
      </c>
      <c r="B3" s="3" t="s">
        <v>36</v>
      </c>
      <c r="C3" s="3" t="n">
        <v>3</v>
      </c>
      <c r="D3" s="5" t="str">
        <f aca="false">IFERROR(INDEX(ticket!$B:$B,MATCH(A3,ticket!$E:$E,0)),"")</f>
        <v>2021-08-19 16:45:43</v>
      </c>
    </row>
    <row r="4" customFormat="false" ht="15" hidden="false" customHeight="false" outlineLevel="0" collapsed="false">
      <c r="A4" s="4" t="s">
        <v>15</v>
      </c>
      <c r="B4" s="4" t="s">
        <v>37</v>
      </c>
      <c r="C4" s="4" t="n">
        <v>4</v>
      </c>
      <c r="D4" s="5" t="str">
        <f aca="false">IFERROR(INDEX(ticket!$B:$B,MATCH(A4,ticket!$E:$E,0)),"")</f>
        <v>2021-08-21 11:09:22</v>
      </c>
    </row>
    <row r="5" customFormat="false" ht="15" hidden="false" customHeight="false" outlineLevel="0" collapsed="false">
      <c r="A5" s="3" t="s">
        <v>19</v>
      </c>
      <c r="B5" s="3" t="s">
        <v>38</v>
      </c>
      <c r="C5" s="3" t="n">
        <v>5</v>
      </c>
      <c r="D5" s="5" t="str">
        <f aca="false">IFERROR(INDEX(ticket!$B:$B,MATCH(A5,ticket!$E:$E,0)),"")</f>
        <v>2021-08-21 09:00:00</v>
      </c>
    </row>
    <row r="6" customFormat="false" ht="15" hidden="false" customHeight="false" outlineLevel="0" collapsed="false">
      <c r="A6" s="4" t="s">
        <v>23</v>
      </c>
      <c r="B6" s="4" t="s">
        <v>39</v>
      </c>
      <c r="C6" s="4" t="n">
        <v>2</v>
      </c>
      <c r="D6" s="5" t="str">
        <f aca="false">IFERROR(INDEX(ticket!$B:$B,MATCH(A6,ticket!$E:$E,0)),"")</f>
        <v>2021-08-22 08:00:00</v>
      </c>
    </row>
    <row r="7" customFormat="false" ht="15" hidden="false" customHeight="false" outlineLevel="0" collapsed="false">
      <c r="A7" s="3" t="s">
        <v>27</v>
      </c>
      <c r="B7" s="3" t="s">
        <v>40</v>
      </c>
      <c r="C7" s="3" t="n">
        <v>3</v>
      </c>
      <c r="D7" s="5" t="str">
        <f aca="false">IFERROR(INDEX(ticket!$B:$B,MATCH(A7,ticket!$E:$E,0)),"")</f>
        <v>2021-08-23 10:30:00</v>
      </c>
    </row>
    <row r="8" customFormat="false" ht="15" hidden="false" customHeight="false" outlineLevel="0" collapsed="false">
      <c r="A8" s="4" t="s">
        <v>31</v>
      </c>
      <c r="B8" s="4" t="s">
        <v>41</v>
      </c>
      <c r="C8" s="4" t="n">
        <v>4</v>
      </c>
      <c r="D8" s="5" t="str">
        <f aca="false">IFERROR(INDEX(ticket!$B:$B,MATCH(A8,ticket!$E:$E,0)),"")</f>
        <v>2021-08-25 14:00:00</v>
      </c>
    </row>
    <row r="10" customFormat="false" ht="15" hidden="false" customHeight="false" outlineLevel="0" collapsed="false">
      <c r="A10" s="6" t="s">
        <v>42</v>
      </c>
      <c r="B10" s="6"/>
      <c r="C10" s="6"/>
      <c r="D10" s="6"/>
    </row>
  </sheetData>
  <mergeCells count="2">
    <mergeCell ref="A1:D1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</cols>
  <sheetData>
    <row r="1" customFormat="false" ht="27.75" hidden="false" customHeight="true" outlineLevel="0" collapsed="false">
      <c r="A1" s="1" t="s">
        <v>43</v>
      </c>
      <c r="B1" s="1"/>
      <c r="C1" s="1"/>
    </row>
    <row r="2" customFormat="false" ht="21.75" hidden="false" customHeight="true" outlineLevel="0" collapsed="false">
      <c r="A2" s="2" t="s">
        <v>4</v>
      </c>
      <c r="B2" s="2" t="s">
        <v>44</v>
      </c>
      <c r="C2" s="2" t="s">
        <v>45</v>
      </c>
    </row>
    <row r="3" customFormat="false" ht="15" hidden="false" customHeight="false" outlineLevel="0" collapsed="false">
      <c r="A3" s="3" t="s">
        <v>9</v>
      </c>
      <c r="B3" s="7" t="n">
        <f aca="false">SUMPRODUCT((ticket!$D$3:$D$100=A3)*(INT(ticket!$B$3:$B$100)=INT(ticket!$C$3:$C$100)))</f>
        <v>1</v>
      </c>
      <c r="C3" s="7" t="n">
        <f aca="false">SUMPRODUCT((ticket!$D$3:$D$100=A3)*(INT(ticket!$B$3:$B$100)=INT(ticket!$C$3:$C$100))*(HOUR(ticket!$B$3:$B$100)=HOUR(ticket!$C$3:$C$100)))</f>
        <v>1</v>
      </c>
    </row>
    <row r="4" customFormat="false" ht="15" hidden="false" customHeight="false" outlineLevel="0" collapsed="false">
      <c r="A4" s="4" t="s">
        <v>14</v>
      </c>
      <c r="B4" s="7" t="n">
        <f aca="false">SUMPRODUCT((ticket!$D$3:$D$100=A4)*(INT(ticket!$B$3:$B$100)=INT(ticket!$C$3:$C$100)))</f>
        <v>3</v>
      </c>
      <c r="C4" s="7" t="n">
        <f aca="false">SUMPRODUCT((ticket!$D$3:$D$100=A4)*(INT(ticket!$B$3:$B$100)=INT(ticket!$C$3:$C$100))*(HOUR(ticket!$B$3:$B$100)=HOUR(ticket!$C$3:$C$100)))</f>
        <v>1</v>
      </c>
    </row>
    <row r="7" customFormat="false" ht="15" hidden="false" customHeight="false" outlineLevel="0" collapsed="false">
      <c r="A7" s="8" t="s">
        <v>46</v>
      </c>
      <c r="B7" s="8"/>
      <c r="C7" s="8"/>
    </row>
    <row r="8" customFormat="false" ht="15" hidden="false" customHeight="false" outlineLevel="0" collapsed="false">
      <c r="A8" s="6" t="s">
        <v>47</v>
      </c>
      <c r="B8" s="6"/>
      <c r="C8" s="6"/>
    </row>
    <row r="9" customFormat="false" ht="15" hidden="false" customHeight="false" outlineLevel="0" collapsed="false">
      <c r="A9" s="6" t="s">
        <v>48</v>
      </c>
      <c r="B9" s="6"/>
      <c r="C9" s="6"/>
    </row>
  </sheetData>
  <mergeCells count="4">
    <mergeCell ref="A1:C1"/>
    <mergeCell ref="A7:C7"/>
    <mergeCell ref="A8:C8"/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49</v>
      </c>
      <c r="B1" s="1"/>
    </row>
    <row r="2" customFormat="false" ht="15" hidden="false" customHeight="false" outlineLevel="0" collapsed="false">
      <c r="A2" s="9" t="s">
        <v>50</v>
      </c>
      <c r="B2" s="9" t="s">
        <v>51</v>
      </c>
    </row>
    <row r="3" customFormat="false" ht="15" hidden="false" customHeight="false" outlineLevel="0" collapsed="false">
      <c r="A3" s="3" t="s">
        <v>52</v>
      </c>
      <c r="B3" s="3" t="str">
        <f aca="false">IFERROR(INDEX(ticket!$B:$B, MATCH(A2, ticket!$E:$E, 0)), "")</f>
        <v/>
      </c>
    </row>
    <row r="4" customFormat="false" ht="15" hidden="false" customHeight="false" outlineLevel="0" collapsed="false">
      <c r="A4" s="4" t="s">
        <v>53</v>
      </c>
      <c r="B4" s="4" t="n">
        <f aca="false">SUMPRODUCT((ticket!$D$3:$D$100=A3)*(INT(ticket!$B$3:$B$100)=INT(ticket!$C$3:$C$100)))</f>
        <v>0</v>
      </c>
    </row>
    <row r="5" customFormat="false" ht="15" hidden="false" customHeight="false" outlineLevel="0" collapsed="false">
      <c r="A5" s="3" t="s">
        <v>54</v>
      </c>
      <c r="B5" s="3" t="n">
        <f aca="false">SUMPRODUCT((ticket!$D$3:$D$100=A3)*(INT(ticket!$B$3:$B$100)=INT(ticket!$C$3:$C$100))*(HOUR(ticket!$B$3:$B$100)=HOUR(ticket!$C$3:$C$100)))</f>
        <v>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2026-04-08T11:22:54Z</dcterms:created>
  <dc:creator>openpyxl</dc:creator>
  <dc:description/>
  <dc:language>en-US</dc:language>
  <cp:lastModifiedBy/>
  <dcterms:modified xsi:type="dcterms:W3CDTF">2026-04-08T11:22:54Z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